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9" customWidth="1" min="3" max="3"/>
    <col width="33" customWidth="1" min="4" max="4"/>
    <col width="34" customWidth="1" min="5" max="5"/>
    <col width="30" customWidth="1" min="6" max="6"/>
    <col width="36" customWidth="1" min="7" max="7"/>
    <col width="38" customWidth="1" min="8" max="8"/>
    <col width="34" customWidth="1" min="9" max="9"/>
    <col width="9" customWidth="1" min="10" max="10"/>
    <col width="23" customWidth="1" min="11" max="11"/>
    <col width="21" customWidth="1" min="12" max="12"/>
    <col width="12" customWidth="1" min="13" max="13"/>
    <col width="20" customWidth="1" min="14" max="14"/>
    <col width="24" customWidth="1" min="15" max="15"/>
    <col width="23" customWidth="1" min="16" max="16"/>
    <col width="7" customWidth="1" min="17" max="17"/>
    <col width="20" customWidth="1" min="18" max="18"/>
    <col width="40" customWidth="1" min="19" max="19"/>
    <col width="40" customWidth="1" min="20" max="20"/>
    <col width="40" customWidth="1" min="21" max="21"/>
    <col width="40" customWidth="1" min="22" max="22"/>
    <col width="18" customWidth="1" min="23" max="23"/>
  </cols>
  <sheetData>
    <row r="1">
      <c r="A1" s="1" t="inlineStr">
        <is>
          <t>Niche</t>
        </is>
      </c>
      <c r="B1" s="1" t="inlineStr">
        <is>
          <t>Seed_Keywords</t>
        </is>
      </c>
      <c r="C1" s="1" t="inlineStr">
        <is>
          <t>Google_Trends_12m_Avg(0-10)</t>
        </is>
      </c>
      <c r="D1" s="1" t="inlineStr">
        <is>
          <t>Google_Trends_3m_Momentum(0-10)</t>
        </is>
      </c>
      <c r="E1" s="1" t="inlineStr">
        <is>
          <t>Keyword_Planner_Monthly_Searches</t>
        </is>
      </c>
      <c r="F1" s="1" t="inlineStr">
        <is>
          <t>Keyword_Planner_3m_Growth(%)</t>
        </is>
      </c>
      <c r="G1" s="1" t="inlineStr">
        <is>
          <t>TikTok_CreativeCenter_Signal(0-10)</t>
        </is>
      </c>
      <c r="H1" s="1" t="inlineStr">
        <is>
          <t>Amazon_MoversShakers_Sightings(0-10)</t>
        </is>
      </c>
      <c r="I1" s="1" t="inlineStr">
        <is>
          <t>Meta_AdLibrary_Advertisers_Count</t>
        </is>
      </c>
      <c r="J1" s="1" t="inlineStr">
        <is>
          <t>CPC_USD</t>
        </is>
      </c>
      <c r="K1" s="1" t="inlineStr">
        <is>
          <t>Avg_Selling_Price_USD</t>
        </is>
      </c>
      <c r="L1" s="1" t="inlineStr">
        <is>
          <t>Est_Landed_Cost_USD</t>
        </is>
      </c>
      <c r="M1" s="1" t="inlineStr">
        <is>
          <t>Weight(kg)</t>
        </is>
      </c>
      <c r="N1" s="1" t="inlineStr">
        <is>
          <t>Is_Fragile(Yes/No)</t>
        </is>
      </c>
      <c r="O1" s="1" t="inlineStr">
        <is>
          <t>Seasonality_Risk(0-10)</t>
        </is>
      </c>
      <c r="P1" s="1" t="inlineStr">
        <is>
          <t>Regulatory_Risk(0-10)</t>
        </is>
      </c>
      <c r="Q1" s="1" t="inlineStr">
        <is>
          <t>Notes</t>
        </is>
      </c>
      <c r="R1" s="1" t="inlineStr">
        <is>
          <t>Demand_Score(0-40)</t>
        </is>
      </c>
      <c r="S1" s="1" t="inlineStr">
        <is>
          <t>Competition_Score(0-20)</t>
        </is>
      </c>
      <c r="T1" s="1" t="inlineStr">
        <is>
          <t>Momentum_Score(0-20)</t>
        </is>
      </c>
      <c r="U1" s="1" t="inlineStr">
        <is>
          <t>Unit_Econ_Score(0-20)</t>
        </is>
      </c>
      <c r="V1" s="1" t="inlineStr">
        <is>
          <t>Total_Score(0-100)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>
        <f>ROUND(40*(0.5*MIN(1,IFERROR(LN(E2+1)/LN(100000),0)) + 0.25*IFERROR(G2/10,0) + 0.25*IFERROR(H2/10,0)),0)</f>
        <v/>
      </c>
      <c r="T2">
        <f>MAX(0,ROUND(20 - 10*MIN(1,IFERROR(I2/200,0)) - 10*MIN(1,IFERROR(J2/3,0)),0))</f>
        <v/>
      </c>
      <c r="U2">
        <f>ROUND(20*(0.6*IFERROR(D2/10,0) + 0.4*MIN(1,1-EXP(-IFERROR(F2,0)/50))),0)</f>
        <v/>
      </c>
      <c r="V2">
        <f>MAX(0,ROUND(12*MAX(0,MIN(1,IFERROR((K2-L2)/K2,0))) + 3*MAX(0,1-MIN(1,IFERROR(M2/2,0))) + IF(N2="Yes",0,2) + (3 - MIN(3,IFERROR(O2/4,0) + MIN(3,IFERROR(P2/5,0)))),0))</f>
        <v/>
      </c>
      <c r="W2">
        <f>S2+T2+U2+V2</f>
        <v/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>
        <f>ROUND(40*(0.5*MIN(1,IFERROR(LN(E3+1)/LN(100000),0)) + 0.25*IFERROR(G3/10,0) + 0.25*IFERROR(H3/10,0)),0)</f>
        <v/>
      </c>
      <c r="T3">
        <f>MAX(0,ROUND(20 - 10*MIN(1,IFERROR(I3/200,0)) - 10*MIN(1,IFERROR(J3/3,0)),0))</f>
        <v/>
      </c>
      <c r="U3">
        <f>ROUND(20*(0.6*IFERROR(D3/10,0) + 0.4*MIN(1,1-EXP(-IFERROR(F3,0)/50))),0)</f>
        <v/>
      </c>
      <c r="V3">
        <f>MAX(0,ROUND(12*MAX(0,MIN(1,IFERROR((K3-L3)/K3,0))) + 3*MAX(0,1-MIN(1,IFERROR(M3/2,0))) + IF(N3="Yes",0,2) + (3 - MIN(3,IFERROR(O3/4,0) + MIN(3,IFERROR(P3/5,0)))),0))</f>
        <v/>
      </c>
      <c r="W3">
        <f>S3+T3+U3+V3</f>
        <v/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>
        <f>ROUND(40*(0.5*MIN(1,IFERROR(LN(E4+1)/LN(100000),0)) + 0.25*IFERROR(G4/10,0) + 0.25*IFERROR(H4/10,0)),0)</f>
        <v/>
      </c>
      <c r="T4">
        <f>MAX(0,ROUND(20 - 10*MIN(1,IFERROR(I4/200,0)) - 10*MIN(1,IFERROR(J4/3,0)),0))</f>
        <v/>
      </c>
      <c r="U4">
        <f>ROUND(20*(0.6*IFERROR(D4/10,0) + 0.4*MIN(1,1-EXP(-IFERROR(F4,0)/50))),0)</f>
        <v/>
      </c>
      <c r="V4">
        <f>MAX(0,ROUND(12*MAX(0,MIN(1,IFERROR((K4-L4)/K4,0))) + 3*MAX(0,1-MIN(1,IFERROR(M4/2,0))) + IF(N4="Yes",0,2) + (3 - MIN(3,IFERROR(O4/4,0) + MIN(3,IFERROR(P4/5,0)))),0))</f>
        <v/>
      </c>
      <c r="W4">
        <f>S4+T4+U4+V4</f>
        <v/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>
        <f>ROUND(40*(0.5*MIN(1,IFERROR(LN(E5+1)/LN(100000),0)) + 0.25*IFERROR(G5/10,0) + 0.25*IFERROR(H5/10,0)),0)</f>
        <v/>
      </c>
      <c r="T5">
        <f>MAX(0,ROUND(20 - 10*MIN(1,IFERROR(I5/200,0)) - 10*MIN(1,IFERROR(J5/3,0)),0))</f>
        <v/>
      </c>
      <c r="U5">
        <f>ROUND(20*(0.6*IFERROR(D5/10,0) + 0.4*MIN(1,1-EXP(-IFERROR(F5,0)/50))),0)</f>
        <v/>
      </c>
      <c r="V5">
        <f>MAX(0,ROUND(12*MAX(0,MIN(1,IFERROR((K5-L5)/K5,0))) + 3*MAX(0,1-MIN(1,IFERROR(M5/2,0))) + IF(N5="Yes",0,2) + (3 - MIN(3,IFERROR(O5/4,0) + MIN(3,IFERROR(P5/5,0)))),0))</f>
        <v/>
      </c>
      <c r="W5">
        <f>S5+T5+U5+V5</f>
        <v/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>
        <f>ROUND(40*(0.5*MIN(1,IFERROR(LN(E6+1)/LN(100000),0)) + 0.25*IFERROR(G6/10,0) + 0.25*IFERROR(H6/10,0)),0)</f>
        <v/>
      </c>
      <c r="T6">
        <f>MAX(0,ROUND(20 - 10*MIN(1,IFERROR(I6/200,0)) - 10*MIN(1,IFERROR(J6/3,0)),0))</f>
        <v/>
      </c>
      <c r="U6">
        <f>ROUND(20*(0.6*IFERROR(D6/10,0) + 0.4*MIN(1,1-EXP(-IFERROR(F6,0)/50))),0)</f>
        <v/>
      </c>
      <c r="V6">
        <f>MAX(0,ROUND(12*MAX(0,MIN(1,IFERROR((K6-L6)/K6,0))) + 3*MAX(0,1-MIN(1,IFERROR(M6/2,0))) + IF(N6="Yes",0,2) + (3 - MIN(3,IFERROR(O6/4,0) + MIN(3,IFERROR(P6/5,0)))),0))</f>
        <v/>
      </c>
      <c r="W6">
        <f>S6+T6+U6+V6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>
        <f>ROUND(40*(0.5*MIN(1,IFERROR(LN(E7+1)/LN(100000),0)) + 0.25*IFERROR(G7/10,0) + 0.25*IFERROR(H7/10,0)),0)</f>
        <v/>
      </c>
      <c r="T7">
        <f>MAX(0,ROUND(20 - 10*MIN(1,IFERROR(I7/200,0)) - 10*MIN(1,IFERROR(J7/3,0)),0))</f>
        <v/>
      </c>
      <c r="U7">
        <f>ROUND(20*(0.6*IFERROR(D7/10,0) + 0.4*MIN(1,1-EXP(-IFERROR(F7,0)/50))),0)</f>
        <v/>
      </c>
      <c r="V7">
        <f>MAX(0,ROUND(12*MAX(0,MIN(1,IFERROR((K7-L7)/K7,0))) + 3*MAX(0,1-MIN(1,IFERROR(M7/2,0))) + IF(N7="Yes",0,2) + (3 - MIN(3,IFERROR(O7/4,0) + MIN(3,IFERROR(P7/5,0)))),0))</f>
        <v/>
      </c>
      <c r="W7">
        <f>S7+T7+U7+V7</f>
        <v/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>
        <f>ROUND(40*(0.5*MIN(1,IFERROR(LN(E8+1)/LN(100000),0)) + 0.25*IFERROR(G8/10,0) + 0.25*IFERROR(H8/10,0)),0)</f>
        <v/>
      </c>
      <c r="T8">
        <f>MAX(0,ROUND(20 - 10*MIN(1,IFERROR(I8/200,0)) - 10*MIN(1,IFERROR(J8/3,0)),0))</f>
        <v/>
      </c>
      <c r="U8">
        <f>ROUND(20*(0.6*IFERROR(D8/10,0) + 0.4*MIN(1,1-EXP(-IFERROR(F8,0)/50))),0)</f>
        <v/>
      </c>
      <c r="V8">
        <f>MAX(0,ROUND(12*MAX(0,MIN(1,IFERROR((K8-L8)/K8,0))) + 3*MAX(0,1-MIN(1,IFERROR(M8/2,0))) + IF(N8="Yes",0,2) + (3 - MIN(3,IFERROR(O8/4,0) + MIN(3,IFERROR(P8/5,0)))),0))</f>
        <v/>
      </c>
      <c r="W8">
        <f>S8+T8+U8+V8</f>
        <v/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>
        <f>ROUND(40*(0.5*MIN(1,IFERROR(LN(E9+1)/LN(100000),0)) + 0.25*IFERROR(G9/10,0) + 0.25*IFERROR(H9/10,0)),0)</f>
        <v/>
      </c>
      <c r="T9">
        <f>MAX(0,ROUND(20 - 10*MIN(1,IFERROR(I9/200,0)) - 10*MIN(1,IFERROR(J9/3,0)),0))</f>
        <v/>
      </c>
      <c r="U9">
        <f>ROUND(20*(0.6*IFERROR(D9/10,0) + 0.4*MIN(1,1-EXP(-IFERROR(F9,0)/50))),0)</f>
        <v/>
      </c>
      <c r="V9">
        <f>MAX(0,ROUND(12*MAX(0,MIN(1,IFERROR((K9-L9)/K9,0))) + 3*MAX(0,1-MIN(1,IFERROR(M9/2,0))) + IF(N9="Yes",0,2) + (3 - MIN(3,IFERROR(O9/4,0) + MIN(3,IFERROR(P9/5,0)))),0))</f>
        <v/>
      </c>
      <c r="W9">
        <f>S9+T9+U9+V9</f>
        <v/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>
        <f>ROUND(40*(0.5*MIN(1,IFERROR(LN(E10+1)/LN(100000),0)) + 0.25*IFERROR(G10/10,0) + 0.25*IFERROR(H10/10,0)),0)</f>
        <v/>
      </c>
      <c r="T10">
        <f>MAX(0,ROUND(20 - 10*MIN(1,IFERROR(I10/200,0)) - 10*MIN(1,IFERROR(J10/3,0)),0))</f>
        <v/>
      </c>
      <c r="U10">
        <f>ROUND(20*(0.6*IFERROR(D10/10,0) + 0.4*MIN(1,1-EXP(-IFERROR(F10,0)/50))),0)</f>
        <v/>
      </c>
      <c r="V10">
        <f>MAX(0,ROUND(12*MAX(0,MIN(1,IFERROR((K10-L10)/K10,0))) + 3*MAX(0,1-MIN(1,IFERROR(M10/2,0))) + IF(N10="Yes",0,2) + (3 - MIN(3,IFERROR(O10/4,0) + MIN(3,IFERROR(P10/5,0)))),0))</f>
        <v/>
      </c>
      <c r="W10">
        <f>S10+T10+U10+V10</f>
        <v/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>
        <f>ROUND(40*(0.5*MIN(1,IFERROR(LN(E11+1)/LN(100000),0)) + 0.25*IFERROR(G11/10,0) + 0.25*IFERROR(H11/10,0)),0)</f>
        <v/>
      </c>
      <c r="T11">
        <f>MAX(0,ROUND(20 - 10*MIN(1,IFERROR(I11/200,0)) - 10*MIN(1,IFERROR(J11/3,0)),0))</f>
        <v/>
      </c>
      <c r="U11">
        <f>ROUND(20*(0.6*IFERROR(D11/10,0) + 0.4*MIN(1,1-EXP(-IFERROR(F11,0)/50))),0)</f>
        <v/>
      </c>
      <c r="V11">
        <f>MAX(0,ROUND(12*MAX(0,MIN(1,IFERROR((K11-L11)/K11,0))) + 3*MAX(0,1-MIN(1,IFERROR(M11/2,0))) + IF(N11="Yes",0,2) + (3 - MIN(3,IFERROR(O11/4,0) + MIN(3,IFERROR(P11/5,0)))),0))</f>
        <v/>
      </c>
      <c r="W11">
        <f>S11+T11+U11+V11</f>
        <v/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>
        <f>ROUND(40*(0.5*MIN(1,IFERROR(LN(E12+1)/LN(100000),0)) + 0.25*IFERROR(G12/10,0) + 0.25*IFERROR(H12/10,0)),0)</f>
        <v/>
      </c>
      <c r="T12">
        <f>MAX(0,ROUND(20 - 10*MIN(1,IFERROR(I12/200,0)) - 10*MIN(1,IFERROR(J12/3,0)),0))</f>
        <v/>
      </c>
      <c r="U12">
        <f>ROUND(20*(0.6*IFERROR(D12/10,0) + 0.4*MIN(1,1-EXP(-IFERROR(F12,0)/50))),0)</f>
        <v/>
      </c>
      <c r="V12">
        <f>MAX(0,ROUND(12*MAX(0,MIN(1,IFERROR((K12-L12)/K12,0))) + 3*MAX(0,1-MIN(1,IFERROR(M12/2,0))) + IF(N12="Yes",0,2) + (3 - MIN(3,IFERROR(O12/4,0) + MIN(3,IFERROR(P12/5,0)))),0))</f>
        <v/>
      </c>
      <c r="W12">
        <f>S12+T12+U12+V12</f>
        <v/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>
        <f>ROUND(40*(0.5*MIN(1,IFERROR(LN(E13+1)/LN(100000),0)) + 0.25*IFERROR(G13/10,0) + 0.25*IFERROR(H13/10,0)),0)</f>
        <v/>
      </c>
      <c r="T13">
        <f>MAX(0,ROUND(20 - 10*MIN(1,IFERROR(I13/200,0)) - 10*MIN(1,IFERROR(J13/3,0)),0))</f>
        <v/>
      </c>
      <c r="U13">
        <f>ROUND(20*(0.6*IFERROR(D13/10,0) + 0.4*MIN(1,1-EXP(-IFERROR(F13,0)/50))),0)</f>
        <v/>
      </c>
      <c r="V13">
        <f>MAX(0,ROUND(12*MAX(0,MIN(1,IFERROR((K13-L13)/K13,0))) + 3*MAX(0,1-MIN(1,IFERROR(M13/2,0))) + IF(N13="Yes",0,2) + (3 - MIN(3,IFERROR(O13/4,0) + MIN(3,IFERROR(P13/5,0)))),0))</f>
        <v/>
      </c>
      <c r="W13">
        <f>S13+T13+U13+V13</f>
        <v/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>
        <f>ROUND(40*(0.5*MIN(1,IFERROR(LN(E14+1)/LN(100000),0)) + 0.25*IFERROR(G14/10,0) + 0.25*IFERROR(H14/10,0)),0)</f>
        <v/>
      </c>
      <c r="T14">
        <f>MAX(0,ROUND(20 - 10*MIN(1,IFERROR(I14/200,0)) - 10*MIN(1,IFERROR(J14/3,0)),0))</f>
        <v/>
      </c>
      <c r="U14">
        <f>ROUND(20*(0.6*IFERROR(D14/10,0) + 0.4*MIN(1,1-EXP(-IFERROR(F14,0)/50))),0)</f>
        <v/>
      </c>
      <c r="V14">
        <f>MAX(0,ROUND(12*MAX(0,MIN(1,IFERROR((K14-L14)/K14,0))) + 3*MAX(0,1-MIN(1,IFERROR(M14/2,0))) + IF(N14="Yes",0,2) + (3 - MIN(3,IFERROR(O14/4,0) + MIN(3,IFERROR(P14/5,0)))),0))</f>
        <v/>
      </c>
      <c r="W14">
        <f>S14+T14+U14+V14</f>
        <v/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>
        <f>ROUND(40*(0.5*MIN(1,IFERROR(LN(E15+1)/LN(100000),0)) + 0.25*IFERROR(G15/10,0) + 0.25*IFERROR(H15/10,0)),0)</f>
        <v/>
      </c>
      <c r="T15">
        <f>MAX(0,ROUND(20 - 10*MIN(1,IFERROR(I15/200,0)) - 10*MIN(1,IFERROR(J15/3,0)),0))</f>
        <v/>
      </c>
      <c r="U15">
        <f>ROUND(20*(0.6*IFERROR(D15/10,0) + 0.4*MIN(1,1-EXP(-IFERROR(F15,0)/50))),0)</f>
        <v/>
      </c>
      <c r="V15">
        <f>MAX(0,ROUND(12*MAX(0,MIN(1,IFERROR((K15-L15)/K15,0))) + 3*MAX(0,1-MIN(1,IFERROR(M15/2,0))) + IF(N15="Yes",0,2) + (3 - MIN(3,IFERROR(O15/4,0) + MIN(3,IFERROR(P15/5,0)))),0))</f>
        <v/>
      </c>
      <c r="W15">
        <f>S15+T15+U15+V15</f>
        <v/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>
        <f>ROUND(40*(0.5*MIN(1,IFERROR(LN(E16+1)/LN(100000),0)) + 0.25*IFERROR(G16/10,0) + 0.25*IFERROR(H16/10,0)),0)</f>
        <v/>
      </c>
      <c r="T16">
        <f>MAX(0,ROUND(20 - 10*MIN(1,IFERROR(I16/200,0)) - 10*MIN(1,IFERROR(J16/3,0)),0))</f>
        <v/>
      </c>
      <c r="U16">
        <f>ROUND(20*(0.6*IFERROR(D16/10,0) + 0.4*MIN(1,1-EXP(-IFERROR(F16,0)/50))),0)</f>
        <v/>
      </c>
      <c r="V16">
        <f>MAX(0,ROUND(12*MAX(0,MIN(1,IFERROR((K16-L16)/K16,0))) + 3*MAX(0,1-MIN(1,IFERROR(M16/2,0))) + IF(N16="Yes",0,2) + (3 - MIN(3,IFERROR(O16/4,0) + MIN(3,IFERROR(P16/5,0)))),0))</f>
        <v/>
      </c>
      <c r="W16">
        <f>S16+T16+U16+V16</f>
        <v/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>
        <f>ROUND(40*(0.5*MIN(1,IFERROR(LN(E17+1)/LN(100000),0)) + 0.25*IFERROR(G17/10,0) + 0.25*IFERROR(H17/10,0)),0)</f>
        <v/>
      </c>
      <c r="T17">
        <f>MAX(0,ROUND(20 - 10*MIN(1,IFERROR(I17/200,0)) - 10*MIN(1,IFERROR(J17/3,0)),0))</f>
        <v/>
      </c>
      <c r="U17">
        <f>ROUND(20*(0.6*IFERROR(D17/10,0) + 0.4*MIN(1,1-EXP(-IFERROR(F17,0)/50))),0)</f>
        <v/>
      </c>
      <c r="V17">
        <f>MAX(0,ROUND(12*MAX(0,MIN(1,IFERROR((K17-L17)/K17,0))) + 3*MAX(0,1-MIN(1,IFERROR(M17/2,0))) + IF(N17="Yes",0,2) + (3 - MIN(3,IFERROR(O17/4,0) + MIN(3,IFERROR(P17/5,0)))),0))</f>
        <v/>
      </c>
      <c r="W17">
        <f>S17+T17+U17+V17</f>
        <v/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>
        <f>ROUND(40*(0.5*MIN(1,IFERROR(LN(E18+1)/LN(100000),0)) + 0.25*IFERROR(G18/10,0) + 0.25*IFERROR(H18/10,0)),0)</f>
        <v/>
      </c>
      <c r="T18">
        <f>MAX(0,ROUND(20 - 10*MIN(1,IFERROR(I18/200,0)) - 10*MIN(1,IFERROR(J18/3,0)),0))</f>
        <v/>
      </c>
      <c r="U18">
        <f>ROUND(20*(0.6*IFERROR(D18/10,0) + 0.4*MIN(1,1-EXP(-IFERROR(F18,0)/50))),0)</f>
        <v/>
      </c>
      <c r="V18">
        <f>MAX(0,ROUND(12*MAX(0,MIN(1,IFERROR((K18-L18)/K18,0))) + 3*MAX(0,1-MIN(1,IFERROR(M18/2,0))) + IF(N18="Yes",0,2) + (3 - MIN(3,IFERROR(O18/4,0) + MIN(3,IFERROR(P18/5,0)))),0))</f>
        <v/>
      </c>
      <c r="W18">
        <f>S18+T18+U18+V18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>
        <f>ROUND(40*(0.5*MIN(1,IFERROR(LN(E19+1)/LN(100000),0)) + 0.25*IFERROR(G19/10,0) + 0.25*IFERROR(H19/10,0)),0)</f>
        <v/>
      </c>
      <c r="T19">
        <f>MAX(0,ROUND(20 - 10*MIN(1,IFERROR(I19/200,0)) - 10*MIN(1,IFERROR(J19/3,0)),0))</f>
        <v/>
      </c>
      <c r="U19">
        <f>ROUND(20*(0.6*IFERROR(D19/10,0) + 0.4*MIN(1,1-EXP(-IFERROR(F19,0)/50))),0)</f>
        <v/>
      </c>
      <c r="V19">
        <f>MAX(0,ROUND(12*MAX(0,MIN(1,IFERROR((K19-L19)/K19,0))) + 3*MAX(0,1-MIN(1,IFERROR(M19/2,0))) + IF(N19="Yes",0,2) + (3 - MIN(3,IFERROR(O19/4,0) + MIN(3,IFERROR(P19/5,0)))),0))</f>
        <v/>
      </c>
      <c r="W19">
        <f>S19+T19+U19+V19</f>
        <v/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>
        <f>ROUND(40*(0.5*MIN(1,IFERROR(LN(E20+1)/LN(100000),0)) + 0.25*IFERROR(G20/10,0) + 0.25*IFERROR(H20/10,0)),0)</f>
        <v/>
      </c>
      <c r="T20">
        <f>MAX(0,ROUND(20 - 10*MIN(1,IFERROR(I20/200,0)) - 10*MIN(1,IFERROR(J20/3,0)),0))</f>
        <v/>
      </c>
      <c r="U20">
        <f>ROUND(20*(0.6*IFERROR(D20/10,0) + 0.4*MIN(1,1-EXP(-IFERROR(F20,0)/50))),0)</f>
        <v/>
      </c>
      <c r="V20">
        <f>MAX(0,ROUND(12*MAX(0,MIN(1,IFERROR((K20-L20)/K20,0))) + 3*MAX(0,1-MIN(1,IFERROR(M20/2,0))) + IF(N20="Yes",0,2) + (3 - MIN(3,IFERROR(O20/4,0) + MIN(3,IFERROR(P20/5,0)))),0))</f>
        <v/>
      </c>
      <c r="W20">
        <f>S20+T20+U20+V20</f>
        <v/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>
        <f>ROUND(40*(0.5*MIN(1,IFERROR(LN(E21+1)/LN(100000),0)) + 0.25*IFERROR(G21/10,0) + 0.25*IFERROR(H21/10,0)),0)</f>
        <v/>
      </c>
      <c r="T21">
        <f>MAX(0,ROUND(20 - 10*MIN(1,IFERROR(I21/200,0)) - 10*MIN(1,IFERROR(J21/3,0)),0))</f>
        <v/>
      </c>
      <c r="U21">
        <f>ROUND(20*(0.6*IFERROR(D21/10,0) + 0.4*MIN(1,1-EXP(-IFERROR(F21,0)/50))),0)</f>
        <v/>
      </c>
      <c r="V21">
        <f>MAX(0,ROUND(12*MAX(0,MIN(1,IFERROR((K21-L21)/K21,0))) + 3*MAX(0,1-MIN(1,IFERROR(M21/2,0))) + IF(N21="Yes",0,2) + (3 - MIN(3,IFERROR(O21/4,0) + MIN(3,IFERROR(P21/5,0)))),0))</f>
        <v/>
      </c>
      <c r="W21">
        <f>S21+T21+U21+V21</f>
        <v/>
      </c>
    </row>
  </sheetData>
  <dataValidations count="1">
    <dataValidation sqref="N2:N100" showErrorMessage="1" showInput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2025-10-04T09:03:10Z</dcterms:created>
  <dcterms:modified xmlns:dcterms="http://purl.org/dc/terms/" xmlns:xsi="http://www.w3.org/2001/XMLSchema-instance" xsi:type="dcterms:W3CDTF">2025-10-04T09:03:10Z</dcterms:modified>
</cp:coreProperties>
</file>