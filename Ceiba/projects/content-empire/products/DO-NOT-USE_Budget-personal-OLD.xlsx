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46705cd34868cc/Personal Accounting/"/>
    </mc:Choice>
  </mc:AlternateContent>
  <xr:revisionPtr revIDLastSave="7" documentId="13_ncr:1_{FA91055F-D546-4BAC-AC80-C5AA520CEB42}" xr6:coauthVersionLast="47" xr6:coauthVersionMax="47" xr10:uidLastSave="{40201A31-2BFC-46D8-A39A-F3AB043CF26A}"/>
  <bookViews>
    <workbookView xWindow="-120" yWindow="-120" windowWidth="20730" windowHeight="11040" xr2:uid="{68C732D4-129C-4EAB-B8D6-7E6AEE9693B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I27" i="1"/>
  <c r="H27" i="1"/>
  <c r="C13" i="1"/>
  <c r="R4" i="1" s="1"/>
  <c r="H6" i="1"/>
  <c r="R5" i="1" l="1"/>
  <c r="R8" i="1" s="1"/>
</calcChain>
</file>

<file path=xl/sharedStrings.xml><?xml version="1.0" encoding="utf-8"?>
<sst xmlns="http://schemas.openxmlformats.org/spreadsheetml/2006/main" count="53" uniqueCount="37">
  <si>
    <t>Concepto</t>
  </si>
  <si>
    <t>Cantidad</t>
  </si>
  <si>
    <t>Due Date</t>
  </si>
  <si>
    <t>Guagua</t>
  </si>
  <si>
    <t>#</t>
  </si>
  <si>
    <t>plan medico</t>
  </si>
  <si>
    <t>Discover</t>
  </si>
  <si>
    <t>Chase</t>
  </si>
  <si>
    <t>Best Buy</t>
  </si>
  <si>
    <t>Celular</t>
  </si>
  <si>
    <t>Internet</t>
  </si>
  <si>
    <t>Triple S</t>
  </si>
  <si>
    <t>Préstamo Estudiantil</t>
  </si>
  <si>
    <t>Deudas</t>
  </si>
  <si>
    <t>Prestamo</t>
  </si>
  <si>
    <t>Salario</t>
  </si>
  <si>
    <t>Payment split</t>
  </si>
  <si>
    <t>#1</t>
  </si>
  <si>
    <t>#2</t>
  </si>
  <si>
    <t>Triple S Vida</t>
  </si>
  <si>
    <t>Plan Médico</t>
  </si>
  <si>
    <t>Seguro Guagua</t>
  </si>
  <si>
    <t>Seguro</t>
  </si>
  <si>
    <t>PRLM</t>
  </si>
  <si>
    <t>Daniel</t>
  </si>
  <si>
    <t>Mary</t>
  </si>
  <si>
    <t>Gastos fijos</t>
  </si>
  <si>
    <t>Gasolina</t>
  </si>
  <si>
    <t>Peaje</t>
  </si>
  <si>
    <t>Salary</t>
  </si>
  <si>
    <t>Tarjeta</t>
  </si>
  <si>
    <t>Deuda</t>
  </si>
  <si>
    <t>Pago Mínimo</t>
  </si>
  <si>
    <t>Interés</t>
  </si>
  <si>
    <t>Column1</t>
  </si>
  <si>
    <t>may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</si>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</sst>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44" fontId="0" fillId="0" borderId="0" xfId="1" applyFont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44" fontId="0" fillId="0" borderId="0" xfId="0" applyNumberFormat="1"/>
    <xf numFmtId="44" fontId="0" fillId="0" borderId="0" xfId="1" applyFont="1" applyBorder="1"/>
    <xf numFmtId="44" fontId="0" fillId="0" borderId="1" xfId="0" applyNumberFormat="1" applyBorder="1"/>
    <xf numFmtId="0" fontId="0" fillId="0" borderId="2" xfId="0" applyBorder="1"/>
    <xf numFmtId="44" fontId="0" fillId="0" borderId="2" xfId="0" applyNumberFormat="1" applyBorder="1"/>
    <xf numFmtId="0" fontId="3" fillId="0" borderId="0" xfId="0" applyFont="1"/>
    <xf numFmtId="44" fontId="3" fillId="0" borderId="0" xfId="1" applyFont="1"/>
    <xf numFmtId="44" fontId="3" fillId="0" borderId="0" xfId="1" applyFont="1" applyBorder="1"/>
    <xf numFmtId="0" fontId="4" fillId="0" borderId="0" xfId="0" applyFont="1"/>
    <xf numFmtId="44" fontId="4" fillId="0" borderId="0" xfId="1" applyFont="1"/>
    <xf numFmtId="44" fontId="4" fillId="2" borderId="1" xfId="1" applyFont="1" applyFill="1" applyBorder="1"/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/>
    <xf numFmtId="0" fontId="4" fillId="2" borderId="5" xfId="0" applyFont="1" applyFill="1" applyBorder="1"/>
    <xf numFmtId="44" fontId="3" fillId="2" borderId="0" xfId="1" applyFont="1" applyFill="1" applyBorder="1"/>
    <xf numFmtId="0" fontId="3" fillId="2" borderId="6" xfId="0" applyFont="1" applyFill="1" applyBorder="1"/>
    <xf numFmtId="0" fontId="4" fillId="2" borderId="7" xfId="0" applyFont="1" applyFill="1" applyBorder="1"/>
    <xf numFmtId="0" fontId="3" fillId="2" borderId="8" xfId="0" applyFont="1" applyFill="1" applyBorder="1"/>
    <xf numFmtId="0" fontId="0" fillId="2" borderId="7" xfId="0" applyFill="1" applyBorder="1"/>
    <xf numFmtId="44" fontId="3" fillId="2" borderId="1" xfId="0" applyNumberFormat="1" applyFont="1" applyFill="1" applyBorder="1"/>
    <xf numFmtId="0" fontId="2" fillId="2" borderId="3" xfId="0" applyFont="1" applyFill="1" applyBorder="1" applyAlignment="1">
      <alignment horizontal="center"/>
    </xf>
    <xf numFmtId="44" fontId="4" fillId="2" borderId="4" xfId="1" applyFont="1" applyFill="1" applyBorder="1" applyAlignment="1">
      <alignment horizontal="center"/>
    </xf>
    <xf numFmtId="44" fontId="4" fillId="2" borderId="6" xfId="1" applyFont="1" applyFill="1" applyBorder="1"/>
    <xf numFmtId="44" fontId="4" fillId="2" borderId="8" xfId="1" applyFont="1" applyFill="1" applyBorder="1"/>
    <xf numFmtId="9" fontId="0" fillId="0" borderId="0" xfId="2" applyFont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31411-0A95-49C3-BA33-975604214E63}" name="Table1" displayName="Table1" ref="A1:E4" totalsRowShown="0" headerRowDxfId="2" headerRowCellStyle="Currency">
  <autoFilter ref="A1:E4" xr:uid="{CBE31411-0A95-49C3-BA33-975604214E63}"/>
  <tableColumns count="5">
    <tableColumn id="1" xr3:uid="{765EA49F-9759-4080-B972-9D1CDE578B1C}" name="Tarjeta"/>
    <tableColumn id="2" xr3:uid="{FADCEC7A-C903-4218-9813-C5AEA3D0FB2A}" name="Deuda" dataDxfId="1" dataCellStyle="Currency"/>
    <tableColumn id="3" xr3:uid="{052F9E6F-C1CF-4C49-A57B-02A9C6C92F42}" name="Pago Mínimo" dataDxfId="0" dataCellStyle="Currency"/>
    <tableColumn id="4" xr3:uid="{9916D40D-4A98-462E-BF8C-497535DE743D}" name="Interés"/>
    <tableColumn id="5" xr3:uid="{0063013E-855E-45A2-8052-F0F930D7B4A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22E8-6848-47B6-A26A-CD7439112DC4}">
  <dimension ref="A1:R27"/>
  <sheetViews>
    <sheetView tabSelected="1" workbookViewId="0">
      <selection activeCell="H6" sqref="H6"/>
    </sheetView>
  </sheetViews>
  <sheetFormatPr defaultRowHeight="15" x14ac:dyDescent="0.25"/>
  <cols>
    <col min="1" max="1" width="3" bestFit="1" customWidth="1"/>
    <col min="2" max="2" width="19.5703125" bestFit="1" customWidth="1"/>
    <col min="3" max="3" width="10.5703125" style="1" bestFit="1" customWidth="1"/>
    <col min="6" max="6" width="10.5703125" bestFit="1" customWidth="1"/>
    <col min="7" max="7" width="14.85546875" bestFit="1" customWidth="1"/>
    <col min="8" max="8" width="11.5703125" style="1" bestFit="1" customWidth="1"/>
    <col min="9" max="9" width="10.5703125" bestFit="1" customWidth="1"/>
    <col min="10" max="10" width="12" bestFit="1" customWidth="1"/>
    <col min="11" max="11" width="11.28515625" bestFit="1" customWidth="1"/>
    <col min="12" max="13" width="0" hidden="1" customWidth="1"/>
    <col min="14" max="14" width="10.5703125" hidden="1" customWidth="1"/>
    <col min="15" max="15" width="0" hidden="1" customWidth="1"/>
    <col min="17" max="17" width="11.140625" bestFit="1" customWidth="1"/>
    <col min="18" max="18" width="11.5703125" bestFit="1" customWidth="1"/>
  </cols>
  <sheetData>
    <row r="1" spans="1:18" ht="15.75" thickBot="1" x14ac:dyDescent="0.3">
      <c r="A1" s="2" t="s">
        <v>4</v>
      </c>
      <c r="B1" s="2" t="s">
        <v>0</v>
      </c>
      <c r="C1" s="3" t="s">
        <v>1</v>
      </c>
      <c r="D1" s="2" t="s">
        <v>2</v>
      </c>
      <c r="G1" t="s">
        <v>13</v>
      </c>
      <c r="N1" s="1"/>
      <c r="Q1" t="s">
        <v>15</v>
      </c>
      <c r="R1" s="7">
        <v>3000</v>
      </c>
    </row>
    <row r="2" spans="1:18" ht="15.75" thickBot="1" x14ac:dyDescent="0.3">
      <c r="A2" s="11">
        <v>1</v>
      </c>
      <c r="B2" s="11" t="s">
        <v>5</v>
      </c>
      <c r="C2" s="12">
        <v>156.34</v>
      </c>
      <c r="D2" s="11">
        <v>1</v>
      </c>
      <c r="G2" t="s">
        <v>14</v>
      </c>
      <c r="H2" s="1">
        <v>8001.3</v>
      </c>
      <c r="I2" s="1"/>
      <c r="Q2" s="4" t="s">
        <v>23</v>
      </c>
      <c r="R2" s="8">
        <v>0</v>
      </c>
    </row>
    <row r="3" spans="1:18" x14ac:dyDescent="0.25">
      <c r="A3" s="14">
        <v>2</v>
      </c>
      <c r="B3" s="14" t="s">
        <v>8</v>
      </c>
      <c r="C3" s="15">
        <v>255</v>
      </c>
      <c r="D3" s="14">
        <v>1</v>
      </c>
      <c r="G3" t="s">
        <v>6</v>
      </c>
      <c r="H3" s="1">
        <v>15008.89</v>
      </c>
      <c r="I3" s="1"/>
      <c r="K3" s="1"/>
      <c r="Q3" s="9"/>
      <c r="R3" s="10">
        <f>SUM(R1:R2)</f>
        <v>3000</v>
      </c>
    </row>
    <row r="4" spans="1:18" ht="15.75" thickBot="1" x14ac:dyDescent="0.3">
      <c r="A4" s="14">
        <v>3</v>
      </c>
      <c r="B4" s="14" t="s">
        <v>9</v>
      </c>
      <c r="C4" s="15">
        <v>93.22</v>
      </c>
      <c r="D4" s="14">
        <v>2</v>
      </c>
      <c r="G4" t="s">
        <v>8</v>
      </c>
      <c r="H4" s="1">
        <v>5967.08</v>
      </c>
      <c r="I4" s="1"/>
      <c r="K4" s="1"/>
      <c r="Q4" s="4" t="s">
        <v>26</v>
      </c>
      <c r="R4" s="8">
        <f>-C13</f>
        <v>-2084.1799999999998</v>
      </c>
    </row>
    <row r="5" spans="1:18" ht="15.75" thickBot="1" x14ac:dyDescent="0.3">
      <c r="A5" s="14">
        <v>4</v>
      </c>
      <c r="B5" s="14" t="s">
        <v>12</v>
      </c>
      <c r="C5" s="15">
        <v>73.34</v>
      </c>
      <c r="D5" s="14">
        <v>5</v>
      </c>
      <c r="G5" s="4" t="s">
        <v>7</v>
      </c>
      <c r="H5" s="5">
        <v>6636.91</v>
      </c>
      <c r="I5" s="5"/>
      <c r="J5" s="6"/>
      <c r="K5" s="1"/>
      <c r="R5" s="6">
        <f>SUM(R3:R4)</f>
        <v>915.82000000000016</v>
      </c>
    </row>
    <row r="6" spans="1:18" x14ac:dyDescent="0.25">
      <c r="A6" s="14">
        <v>5</v>
      </c>
      <c r="B6" s="14" t="s">
        <v>7</v>
      </c>
      <c r="C6" s="15">
        <v>223</v>
      </c>
      <c r="D6" s="14">
        <v>8</v>
      </c>
      <c r="H6" s="1">
        <f>SUM(H2:H5)</f>
        <v>35614.179999999993</v>
      </c>
      <c r="I6" s="6"/>
      <c r="K6" s="6"/>
      <c r="Q6" t="s">
        <v>27</v>
      </c>
      <c r="R6" s="1">
        <v>-160</v>
      </c>
    </row>
    <row r="7" spans="1:18" ht="15.75" thickBot="1" x14ac:dyDescent="0.3">
      <c r="A7" s="14">
        <v>6</v>
      </c>
      <c r="B7" s="14" t="s">
        <v>6</v>
      </c>
      <c r="C7" s="15">
        <v>442</v>
      </c>
      <c r="D7" s="14">
        <v>13</v>
      </c>
      <c r="Q7" s="4" t="s">
        <v>28</v>
      </c>
      <c r="R7" s="5">
        <v>-36</v>
      </c>
    </row>
    <row r="8" spans="1:18" x14ac:dyDescent="0.25">
      <c r="A8" s="14">
        <v>7</v>
      </c>
      <c r="B8" s="14" t="s">
        <v>11</v>
      </c>
      <c r="C8" s="15">
        <v>8.08</v>
      </c>
      <c r="D8" s="14">
        <v>14</v>
      </c>
      <c r="R8" s="6">
        <f>SUM(R5:R7)</f>
        <v>719.82000000000016</v>
      </c>
    </row>
    <row r="9" spans="1:18" x14ac:dyDescent="0.25">
      <c r="A9" s="11">
        <v>8</v>
      </c>
      <c r="B9" s="11" t="s">
        <v>3</v>
      </c>
      <c r="C9" s="12">
        <v>729.12</v>
      </c>
      <c r="D9" s="11">
        <v>20</v>
      </c>
      <c r="G9" t="s">
        <v>24</v>
      </c>
      <c r="H9" s="1">
        <v>1000</v>
      </c>
      <c r="I9" t="s">
        <v>35</v>
      </c>
    </row>
    <row r="10" spans="1:18" x14ac:dyDescent="0.25">
      <c r="A10" s="11">
        <v>9</v>
      </c>
      <c r="B10" s="11" t="s">
        <v>21</v>
      </c>
      <c r="C10" s="13">
        <v>54.83</v>
      </c>
      <c r="D10" s="11">
        <v>20</v>
      </c>
      <c r="G10" t="s">
        <v>25</v>
      </c>
      <c r="H10" s="1">
        <v>1000</v>
      </c>
      <c r="I10" t="s">
        <v>36</v>
      </c>
    </row>
    <row r="11" spans="1:18" x14ac:dyDescent="0.25">
      <c r="A11" s="11">
        <v>10</v>
      </c>
      <c r="B11" s="11" t="s">
        <v>11</v>
      </c>
      <c r="C11" s="12">
        <v>8.08</v>
      </c>
      <c r="D11" s="11">
        <v>28</v>
      </c>
    </row>
    <row r="12" spans="1:18" x14ac:dyDescent="0.25">
      <c r="A12" s="11">
        <v>11</v>
      </c>
      <c r="B12" s="11" t="s">
        <v>10</v>
      </c>
      <c r="C12" s="13">
        <v>41.17</v>
      </c>
      <c r="D12" s="11">
        <v>31</v>
      </c>
    </row>
    <row r="13" spans="1:18" x14ac:dyDescent="0.25">
      <c r="C13" s="1">
        <f>SUM(C2:C12)</f>
        <v>2084.1799999999998</v>
      </c>
    </row>
    <row r="14" spans="1:18" x14ac:dyDescent="0.25">
      <c r="F14" s="6"/>
    </row>
    <row r="15" spans="1:18" x14ac:dyDescent="0.25">
      <c r="E15" s="6"/>
      <c r="F15" s="6"/>
    </row>
    <row r="18" spans="7:10" ht="15.75" thickBot="1" x14ac:dyDescent="0.3"/>
    <row r="19" spans="7:10" ht="15.75" thickBot="1" x14ac:dyDescent="0.3">
      <c r="G19" s="27" t="s">
        <v>16</v>
      </c>
      <c r="H19" s="28" t="s">
        <v>17</v>
      </c>
      <c r="I19" s="18" t="s">
        <v>18</v>
      </c>
      <c r="J19" s="19"/>
    </row>
    <row r="20" spans="7:10" x14ac:dyDescent="0.25">
      <c r="G20" s="20" t="s">
        <v>29</v>
      </c>
      <c r="H20" s="29">
        <v>1500</v>
      </c>
      <c r="I20" s="21">
        <v>1500</v>
      </c>
      <c r="J20" s="22" t="s">
        <v>29</v>
      </c>
    </row>
    <row r="21" spans="7:10" x14ac:dyDescent="0.25">
      <c r="G21" s="20" t="s">
        <v>8</v>
      </c>
      <c r="H21" s="29">
        <v>-255</v>
      </c>
      <c r="I21" s="21">
        <v>-729.12</v>
      </c>
      <c r="J21" s="22" t="s">
        <v>3</v>
      </c>
    </row>
    <row r="22" spans="7:10" x14ac:dyDescent="0.25">
      <c r="G22" s="20" t="s">
        <v>9</v>
      </c>
      <c r="H22" s="29">
        <v>-93.22</v>
      </c>
      <c r="I22" s="21">
        <v>-8.08</v>
      </c>
      <c r="J22" s="22" t="s">
        <v>19</v>
      </c>
    </row>
    <row r="23" spans="7:10" x14ac:dyDescent="0.25">
      <c r="G23" s="20" t="s">
        <v>14</v>
      </c>
      <c r="H23" s="29">
        <v>-73.34</v>
      </c>
      <c r="I23" s="21">
        <v>-41.17</v>
      </c>
      <c r="J23" s="22" t="s">
        <v>10</v>
      </c>
    </row>
    <row r="24" spans="7:10" x14ac:dyDescent="0.25">
      <c r="G24" s="20" t="s">
        <v>7</v>
      </c>
      <c r="H24" s="29">
        <v>-223</v>
      </c>
      <c r="I24" s="21">
        <v>-156.34</v>
      </c>
      <c r="J24" s="22" t="s">
        <v>20</v>
      </c>
    </row>
    <row r="25" spans="7:10" x14ac:dyDescent="0.25">
      <c r="G25" s="20" t="s">
        <v>6</v>
      </c>
      <c r="H25" s="29">
        <v>-442</v>
      </c>
      <c r="I25" s="21">
        <v>-54.83</v>
      </c>
      <c r="J25" s="22" t="s">
        <v>22</v>
      </c>
    </row>
    <row r="26" spans="7:10" ht="15.75" thickBot="1" x14ac:dyDescent="0.3">
      <c r="G26" s="23" t="s">
        <v>19</v>
      </c>
      <c r="H26" s="30">
        <v>-8.08</v>
      </c>
      <c r="I26" s="17"/>
      <c r="J26" s="24"/>
    </row>
    <row r="27" spans="7:10" ht="15.75" thickBot="1" x14ac:dyDescent="0.3">
      <c r="G27" s="25"/>
      <c r="H27" s="16">
        <f>SUM(H20:H26)</f>
        <v>405.36000000000007</v>
      </c>
      <c r="I27" s="26">
        <f>SUM(I20:I26)</f>
        <v>510.46</v>
      </c>
      <c r="J27" s="24"/>
    </row>
  </sheetData>
  <sortState xmlns:xlrd2="http://schemas.microsoft.com/office/spreadsheetml/2017/richdata2" ref="A2:D13">
    <sortCondition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F6EC-12E8-4990-A725-C8397E33B2A7}">
  <dimension ref="A1:E4"/>
  <sheetViews>
    <sheetView workbookViewId="0">
      <selection activeCell="C6" sqref="C6"/>
    </sheetView>
  </sheetViews>
  <sheetFormatPr defaultRowHeight="15" x14ac:dyDescent="0.25"/>
  <cols>
    <col min="1" max="1" width="9.28515625" customWidth="1"/>
    <col min="2" max="2" width="11.5703125" style="1" bestFit="1" customWidth="1"/>
    <col min="3" max="3" width="16.28515625" style="1" customWidth="1"/>
    <col min="4" max="4" width="9.42578125" style="31" customWidth="1"/>
  </cols>
  <sheetData>
    <row r="1" spans="1:5" x14ac:dyDescent="0.25">
      <c r="A1" t="s">
        <v>30</v>
      </c>
      <c r="B1" s="1" t="s">
        <v>31</v>
      </c>
      <c r="C1" s="1" t="s">
        <v>32</v>
      </c>
      <c r="D1" s="31" t="s">
        <v>33</v>
      </c>
      <c r="E1" s="1" t="s">
        <v>34</v>
      </c>
    </row>
    <row r="2" spans="1:5" x14ac:dyDescent="0.25">
      <c r="A2" t="s">
        <v>6</v>
      </c>
      <c r="B2" s="1">
        <v>14604.17</v>
      </c>
      <c r="C2" s="1">
        <v>442</v>
      </c>
      <c r="D2" s="32">
        <v>0.28239999999999998</v>
      </c>
      <c r="E2">
        <v>2</v>
      </c>
    </row>
    <row r="3" spans="1:5" x14ac:dyDescent="0.25">
      <c r="A3" t="s">
        <v>8</v>
      </c>
      <c r="B3" s="1">
        <v>6467.08</v>
      </c>
      <c r="C3" s="1">
        <v>239</v>
      </c>
      <c r="D3" s="32">
        <v>0.3049</v>
      </c>
      <c r="E3">
        <v>1</v>
      </c>
    </row>
    <row r="4" spans="1:5" x14ac:dyDescent="0.25">
      <c r="A4" t="s">
        <v>7</v>
      </c>
      <c r="B4" s="1">
        <v>6722.39</v>
      </c>
      <c r="C4" s="1">
        <v>223</v>
      </c>
      <c r="D4" s="32">
        <v>0.28239999999999998</v>
      </c>
      <c r="E4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Pagan-Santana</dc:creator>
  <cp:lastModifiedBy>Melissa Pagan-Santana</cp:lastModifiedBy>
  <dcterms:created xsi:type="dcterms:W3CDTF">2024-01-21T14:30:47Z</dcterms:created>
  <dcterms:modified xsi:type="dcterms:W3CDTF">2024-04-27T12:51:33Z</dcterms:modified>
</cp:coreProperties>
</file>